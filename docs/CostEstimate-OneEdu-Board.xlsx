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zure Infrastructure" state="visible" r:id="rId5"/>
    <sheet sheetId="3" name="Development Tools" state="visible" r:id="rId6"/>
    <sheet sheetId="4" name="Assumptions" state="visible" r:id="rId7"/>
  </sheets>
  <calcPr calcId="171027"/>
</workbook>
</file>

<file path=xl/sharedStrings.xml><?xml version="1.0" encoding="utf-8"?>
<sst xmlns="http://schemas.openxmlformats.org/spreadsheetml/2006/main" count="195" uniqueCount="153">
  <si>
    <t>One Edu  —  Cloud &amp; Tooling Cost Estimate</t>
  </si>
  <si>
    <t>Monthly operating cost excluding manpower   ·   Azure App Service   ·   UK South</t>
  </si>
  <si>
    <t>Prepared for</t>
  </si>
  <si>
    <t>Board of Directors</t>
  </si>
  <si>
    <t>Date</t>
  </si>
  <si>
    <t>June 2026</t>
  </si>
  <si>
    <t>Version</t>
  </si>
  <si>
    <t>2.3</t>
  </si>
  <si>
    <t>Region / OS</t>
  </si>
  <si>
    <t>UK South · Windows</t>
  </si>
  <si>
    <t>Team size</t>
  </si>
  <si>
    <t>5 people</t>
  </si>
  <si>
    <t>Currency</t>
  </si>
  <si>
    <t>USD (GBP indicative @ 0.79)</t>
  </si>
  <si>
    <t>Initial monthly run</t>
  </si>
  <si>
    <t>Fully-built monthly</t>
  </si>
  <si>
    <t>Initial annual</t>
  </si>
  <si>
    <t>$1,094</t>
  </si>
  <si>
    <t>$1,659</t>
  </si>
  <si>
    <t>$13,128</t>
  </si>
  <si>
    <t>Cost by category</t>
  </si>
  <si>
    <t>Category</t>
  </si>
  <si>
    <t>Monthly USD</t>
  </si>
  <si>
    <t>Monthly GBP</t>
  </si>
  <si>
    <t>Annual USD</t>
  </si>
  <si>
    <t>Azure — DEV (matched to UAT for parity)</t>
  </si>
  <si>
    <t>Azure — UAT (lean, prod-like)</t>
  </si>
  <si>
    <t>Azure — Production (with HA)</t>
  </si>
  <si>
    <t>Azure — Phase 2 add-ons (on activation)</t>
  </si>
  <si>
    <t>Development tools &amp; SaaS (incl. Claude Team)</t>
  </si>
  <si>
    <t>Initial run  (DEV + UAT + PROD HA + Dev Tools)</t>
  </si>
  <si>
    <t>Fully built  (+ Phase 2 add-ons)</t>
  </si>
  <si>
    <t>App-store publishing licences  (iOS + Android)</t>
  </si>
  <si>
    <t xml:space="preserve">   Apple Developer Program</t>
  </si>
  <si>
    <t>$99 / year  (recurring — included in Dev Tools core)</t>
  </si>
  <si>
    <t xml:space="preserve">   Google Play Developer</t>
  </si>
  <si>
    <t>$25  one-time</t>
  </si>
  <si>
    <t>•  Phasing matches the architecture diagram: everything outside the amber “Phase 2” zone is the lean Phase 1 launch.</t>
  </si>
  <si>
    <t>•  Toolchain: Azure DevOps (free for 5 users) · React Native mobile (open-source) · Microsoft Teams Free. Email via separate provider (budgeted separately).</t>
  </si>
  <si>
    <t>•  EXCLUDES: staff salaries / contractor day-rates, and variable payment-gateway fees (~2.9%/transaction).</t>
  </si>
  <si>
    <t>Azure Infrastructure  —  DEV / UAT / PROD  (lowest viable SKUs, Windows · UK South)</t>
  </si>
  <si>
    <t>Service</t>
  </si>
  <si>
    <t>DEV</t>
  </si>
  <si>
    <t>UAT</t>
  </si>
  <si>
    <t>PROD No-HA</t>
  </si>
  <si>
    <t>PROD HA</t>
  </si>
  <si>
    <t>SKU per env  (DEV / UAT / PROD)</t>
  </si>
  <si>
    <t>App Service Plan</t>
  </si>
  <si>
    <t>S1 / S1 / P1v3 — Windows. DEV=UAT for parity. PROD HA = P1v3 x2 zone-redundant.</t>
  </si>
  <si>
    <t>Azure SQL Database</t>
  </si>
  <si>
    <t>S0 / S0 / S2 (50 DTU). Built-in in-region HA on all tiers.</t>
  </si>
  <si>
    <t>Blob Storage</t>
  </si>
  <si>
    <t>Standard LRS, Hot.</t>
  </si>
  <si>
    <t>Front Door + WAF</t>
  </si>
  <si>
    <t>DEV direct; Standard + WAF in UAT/PROD.</t>
  </si>
  <si>
    <t>Communication Services</t>
  </si>
  <si>
    <t>Email + SMS + OTP; volume scales by env.</t>
  </si>
  <si>
    <t>Key Vault</t>
  </si>
  <si>
    <t>Standard.</t>
  </si>
  <si>
    <t>Azure Monitor</t>
  </si>
  <si>
    <t>App Insights + Log Analytics.</t>
  </si>
  <si>
    <t>Defender for Cloud</t>
  </si>
  <si>
    <t>Off in DEV/UAT; on in PROD.</t>
  </si>
  <si>
    <t>Microsoft Entra External ID</t>
  </si>
  <si>
    <t>Free &lt; 50k MAU; tenant per env.</t>
  </si>
  <si>
    <t>Backup</t>
  </si>
  <si>
    <t>SQL PITR included.</t>
  </si>
  <si>
    <t>TOTAL (USD / month)</t>
  </si>
  <si>
    <t>DEV/UAT can be stopped off-hours to save more</t>
  </si>
  <si>
    <t>Phase 2 add-on (PROD)</t>
  </si>
  <si>
    <t/>
  </si>
  <si>
    <t>USD/mo</t>
  </si>
  <si>
    <t>Trigger (when to add) — amber zone in the diagram</t>
  </si>
  <si>
    <t>SignalR / Web PubSub</t>
  </si>
  <si>
    <t>Real-time messaging (MSG-001)</t>
  </si>
  <si>
    <t>Azure Cache for Redis</t>
  </si>
  <si>
    <t>Sessions / rate-limit at scale</t>
  </si>
  <si>
    <t>Service Bus</t>
  </si>
  <si>
    <t>Async jobs / migration (MIG)</t>
  </si>
  <si>
    <t>Notification Hubs</t>
  </si>
  <si>
    <t>Mobile app push (MOB-004)</t>
  </si>
  <si>
    <t>Azure OpenAI</t>
  </si>
  <si>
    <t>AI Insights module (§5.12)</t>
  </si>
  <si>
    <t>AI Search</t>
  </si>
  <si>
    <t>AI tutor / RAG</t>
  </si>
  <si>
    <t>API Management</t>
  </si>
  <si>
    <t>Public / partner API (API-004)</t>
  </si>
  <si>
    <t>Private Endpoints + NAT</t>
  </si>
  <si>
    <t>Compliance hardening (SEC-023)</t>
  </si>
  <si>
    <t>TOTAL Phase 2 (if all activated)</t>
  </si>
  <si>
    <t>Development Tools &amp; SaaS  (recurring, non-manpower)</t>
  </si>
  <si>
    <t>Team size (seats):</t>
  </si>
  <si>
    <t>(edit Qty per row as needed)</t>
  </si>
  <si>
    <t>Tool</t>
  </si>
  <si>
    <t>Plan</t>
  </si>
  <si>
    <t>Unit USD</t>
  </si>
  <si>
    <t>Qty</t>
  </si>
  <si>
    <t>Notes</t>
  </si>
  <si>
    <t>Core (adopted from day one)</t>
  </si>
  <si>
    <t>Claude</t>
  </si>
  <si>
    <t>Team plan</t>
  </si>
  <si>
    <t>AI dev assistant (Claude Code) — flat team plan</t>
  </si>
  <si>
    <t>Azure DevOps</t>
  </si>
  <si>
    <t>Basic (5 free)</t>
  </si>
  <si>
    <t>Repos + Boards + Pipelines — first 5 users free</t>
  </si>
  <si>
    <t>React Native</t>
  </si>
  <si>
    <t>Open-source</t>
  </si>
  <si>
    <t>Cross-platform mobile (iOS+Android) from one codebase — free</t>
  </si>
  <si>
    <t>Microsoft Teams</t>
  </si>
  <si>
    <t>Free</t>
  </si>
  <si>
    <t>Chat / meetings; email via separate provider (budget separately)</t>
  </si>
  <si>
    <t>1Password</t>
  </si>
  <si>
    <t>Teams</t>
  </si>
  <si>
    <t>Secrets / password mgmt — per user</t>
  </si>
  <si>
    <t>Apple Developer</t>
  </si>
  <si>
    <t>Program (annual)</t>
  </si>
  <si>
    <t>iOS APP-STORE LICENCE — $99 / YEAR (recurring), amortised</t>
  </si>
  <si>
    <t>Domain + DNS</t>
  </si>
  <si>
    <t>Registrar</t>
  </si>
  <si>
    <t>Custom domain ($15/yr amortised)</t>
  </si>
  <si>
    <t>CORE TOTAL</t>
  </si>
  <si>
    <t>Optional (add if needed)</t>
  </si>
  <si>
    <t>Expo EAS</t>
  </si>
  <si>
    <t>Production</t>
  </si>
  <si>
    <t>Managed mobile builds + OTA updates (free tier also available)</t>
  </si>
  <si>
    <t>Extra parallel job</t>
  </si>
  <si>
    <t>Additional CI/CD concurrency (1 free job included)</t>
  </si>
  <si>
    <t>Sentry</t>
  </si>
  <si>
    <t>Team</t>
  </si>
  <si>
    <t>Error monitoring (App Insights covers basics)</t>
  </si>
  <si>
    <t>BrowserStack</t>
  </si>
  <si>
    <t>Automate</t>
  </si>
  <si>
    <t>Cross-device / browser testing</t>
  </si>
  <si>
    <t>OPTIONAL TOTAL</t>
  </si>
  <si>
    <t>One-time</t>
  </si>
  <si>
    <t>Google Play Developer</t>
  </si>
  <si>
    <t>One-off</t>
  </si>
  <si>
    <t>Android APP-STORE LICENCE — $25 ONE-TIME</t>
  </si>
  <si>
    <t>Assumptions, Scope &amp; Exclusions</t>
  </si>
  <si>
    <t>•  Scope: ONE tenant (single institution), ~5,000 students + parents + ~300 staff; ~300-500 peak concurrent users (PROD).</t>
  </si>
  <si>
    <t>•  Region UK South; OS Windows; pay-as-you-go list prices; 730 hrs/month; USD (GBP indicative @ 0.79).</t>
  </si>
  <si>
    <t>•  Phasing matches the architecture diagram: Phase 1 = lean launch; Phase 2 (amber) services added as each module goes live.</t>
  </si>
  <si>
    <t>•  DEV mirrors UAT on App Service (S1) + Azure SQL (S0) for parity; other DEV components stay minimal.</t>
  </si>
  <si>
    <t>•  PROD HA = 2x App Service (zone-redundant) + Azure SQL built-in in-region HA (no extra cost).</t>
  </si>
  <si>
    <t>•  Toolchain: Azure DevOps (Repos+Boards+Pipelines, free for 5 users) replaces GitHub + Jira.</t>
  </si>
  <si>
    <t>•  Mobile built with React Native (one codebase for iOS + Android) — framework is free; optional Expo EAS for managed cloud builds / OTA.</t>
  </si>
  <si>
    <t>•  App-store publishing licences: Apple Developer Program = $99 / YEAR (recurring, amortised in Dev Tools); Google Play = $25 ONE-TIME.</t>
  </si>
  <si>
    <t>•  Collaboration via Microsoft Teams Free; email handled by a SEPARATE provider, budgeted separately (no paid M365). Figma not used.</t>
  </si>
  <si>
    <t>•  Development tools priced for a team of 5 (editable). Claude Team plan included at $100/mo flat as directed.</t>
  </si>
  <si>
    <t>•  Cost-down levers: 1-3 yr Azure reservations cut App Service + SQL ~30-40%; stop DEV/UAT off-hours; Azure Dev/Test subscription for non-prod.</t>
  </si>
  <si>
    <t>•  Multi-tenant economics: shared services (Front Door, Defender, monitoring, control plane) mean per-tenant cost falls sharply as institutions are added.</t>
  </si>
  <si>
    <t>•  EXCLUDED from all totals: staff salaries / contractor day-rates (manpower), and variable payment-gateway fees (~2.9%/transaction).</t>
  </si>
  <si>
    <t>•  Figures are list-price ESTIMATES. Authoritative numbers: Azure Pricing Calculator export with EA/CSP discount + each vendor's quote.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</si>
</sst>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£&quot;#,##0"/>
  </numFmts>
  <fonts count="17" x14ac:knownFonts="1">
    <font>
      <color theme="1"/>
      <family val="2"/>
      <scheme val="minor"/>
      <sz val="11"/>
      <name val="Calibri"/>
    </font>
    <font>
      <b/>
      <color rgb="FFFFFFFF"/>
      <sz val="20"/>
    </font>
    <font>
      <b/>
      <color rgb="FFFFFFFF"/>
      <sz val="12"/>
    </font>
    <font>
      <b/>
      <color rgb="FF1F3A5F"/>
      <sz val="10"/>
    </font>
    <font>
      <sz val="10"/>
    </font>
    <font>
      <b/>
      <color rgb="FFFFFFFF"/>
      <sz val="10"/>
    </font>
    <font>
      <b/>
      <color rgb="FFFFFFFF"/>
      <sz val="18"/>
    </font>
    <font>
      <b/>
      <color rgb="FFFFFFFF"/>
      <sz val="11"/>
    </font>
    <font>
      <color rgb="FF8A5A00"/>
    </font>
    <font>
      <b/>
    </font>
    <font>
      <b/>
      <color rgb="FF1F4E79"/>
    </font>
    <font>
      <color rgb="FF1F4E79"/>
    </font>
    <font>
      <i/>
      <color rgb="FF555555"/>
      <sz val="9"/>
    </font>
    <font>
      <b/>
      <color rgb="FFFFFFFF"/>
      <sz val="14"/>
    </font>
    <font>
      <b/>
      <color rgb="FF1F3A5F"/>
    </font>
    <font>
      <i/>
      <color rgb="FF8A97A4"/>
      <sz val="9"/>
    </font>
    <font>
      <b/>
      <color rgb="FF1F7A3D"/>
    </font>
  </fonts>
  <fills count="1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5E8C"/>
      </patternFill>
    </fill>
    <fill>
      <patternFill patternType="solid">
        <fgColor rgb="FF1F7A3D"/>
      </patternFill>
    </fill>
    <fill>
      <patternFill patternType="solid">
        <fgColor rgb="FFEAF1F8"/>
      </patternFill>
    </fill>
    <fill>
      <patternFill patternType="solid">
        <fgColor rgb="FFFFF6E6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BF0"/>
      </patternFill>
    </fill>
    <fill>
      <patternFill patternType="solid">
        <fgColor rgb="FFEFF7EF"/>
      </patternFill>
    </fill>
    <fill>
      <patternFill patternType="solid">
        <fgColor rgb="FF8A97A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FD0E0"/>
      </left>
      <right style="thin">
        <color rgb="FFBFD0E0"/>
      </right>
      <top style="thin">
        <color rgb="FFBFD0E0"/>
      </top>
      <bottom style="thin">
        <color rgb="FFBFD0E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5" borderId="1" xfId="0" applyFill="1" applyBorder="1"/>
    <xf numFmtId="164" fontId="0" fillId="5" borderId="1" xfId="0" applyNumberFormat="1" applyFill="1" applyBorder="1" applyAlignment="1">
      <alignment horizontal="right"/>
    </xf>
    <xf numFmtId="165" fontId="0" fillId="5" borderId="1" xfId="0" applyNumberFormat="1" applyFill="1" applyBorder="1" applyAlignment="1">
      <alignment horizontal="right"/>
    </xf>
    <xf numFmtId="0" fontId="8" fillId="6" borderId="1" xfId="0" applyFont="1" applyFill="1" applyBorder="1"/>
    <xf numFmtId="164" fontId="0" fillId="6" borderId="1" xfId="0" applyNumberFormat="1" applyFill="1" applyBorder="1" applyAlignment="1">
      <alignment horizontal="right"/>
    </xf>
    <xf numFmtId="165" fontId="0" fillId="6" borderId="1" xfId="0" applyNumberFormat="1" applyFill="1" applyBorder="1" applyAlignment="1">
      <alignment horizontal="right"/>
    </xf>
    <xf numFmtId="0" fontId="9" fillId="7" borderId="0" xfId="0" applyFont="1" applyFill="1"/>
    <xf numFmtId="164" fontId="9" fillId="7" borderId="1" xfId="0" applyNumberFormat="1" applyFont="1" applyFill="1" applyBorder="1" applyAlignment="1">
      <alignment horizontal="right"/>
    </xf>
    <xf numFmtId="165" fontId="9" fillId="7" borderId="1" xfId="0" applyNumberFormat="1" applyFont="1" applyFill="1" applyBorder="1" applyAlignment="1">
      <alignment horizontal="right"/>
    </xf>
    <xf numFmtId="0" fontId="7" fillId="8" borderId="0" xfId="0" applyFont="1" applyFill="1" applyAlignment="1">
      <alignment horizontal="left" vertical="center" indent="1"/>
    </xf>
    <xf numFmtId="0" fontId="10" fillId="9" borderId="1" xfId="0" applyFont="1" applyFill="1" applyBorder="1"/>
    <xf numFmtId="0" fontId="11" fillId="9" borderId="0" xfId="0" applyFont="1" applyFill="1"/>
    <xf numFmtId="0" fontId="12" fillId="0" borderId="0" xfId="0" applyFont="1" applyAlignment="1">
      <alignment wrapText="1"/>
    </xf>
    <xf numFmtId="0" fontId="13" fillId="2" borderId="0" xfId="0" applyFont="1" applyFill="1" applyAlignment="1">
      <alignment horizontal="left" vertical="center" inden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0" fontId="0" fillId="10" borderId="1" xfId="0" applyFill="1" applyBorder="1"/>
    <xf numFmtId="0" fontId="0" fillId="6" borderId="0" xfId="0" applyFill="1"/>
    <xf numFmtId="164" fontId="0" fillId="10" borderId="1" xfId="0" applyNumberFormat="1" applyFill="1" applyBorder="1" applyAlignment="1">
      <alignment horizontal="right"/>
    </xf>
    <xf numFmtId="0" fontId="0" fillId="6" borderId="1" xfId="0" applyFill="1" applyBorder="1"/>
    <xf numFmtId="0" fontId="14" fillId="0" borderId="0" xfId="0" applyFont="1"/>
    <xf numFmtId="0" fontId="15" fillId="0" borderId="0" xfId="0" applyFont="1"/>
    <xf numFmtId="0" fontId="7" fillId="3" borderId="0" xfId="0" applyFont="1" applyFill="1" applyAlignment="1">
      <alignment horizontal="left" vertical="center" indent="1"/>
    </xf>
    <xf numFmtId="0" fontId="16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164" fontId="0" fillId="11" borderId="1" xfId="0" applyNumberForma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vertical="top" wrapText="1"/>
    </xf>
    <xf numFmtId="0" fontId="7" fillId="12" borderId="0" xfId="0" applyFont="1" applyFill="1" applyAlignment="1">
      <alignment horizontal="left" vertical="center" indent="1"/>
    </xf>
    <xf numFmtId="0" fontId="9" fillId="13" borderId="0" xfId="0" applyFont="1" applyFill="1"/>
    <xf numFmtId="164" fontId="9" fillId="13" borderId="1" xfId="0" applyNumberFormat="1" applyFont="1" applyFill="1" applyBorder="1" applyAlignment="1">
      <alignment horizontal="right"/>
    </xf>
    <xf numFmtId="0" fontId="10" fillId="9" borderId="0" xfId="0" applyFont="1" applyFill="1"/>
    <xf numFmtId="0" fontId="0" fillId="9" borderId="0" xfId="0" applyFill="1"/>
    <xf numFmtId="164" fontId="0" fillId="9" borderId="1" xfId="0" applyNumberFormat="1" applyFill="1" applyBorder="1" applyAlignment="1">
      <alignment horizontal="right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B1:E3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4" customWidth="1"/>
  </cols>
  <sheetData>
    <row r="1" ht="34" customHeight="1" spans="2:5" x14ac:dyDescent="0.25">
      <c r="B1" s="1" t="s">
        <v>0</v>
      </c>
      <c r="C1" s="1"/>
      <c r="D1" s="1"/>
      <c r="E1" s="1"/>
    </row>
    <row r="2" ht="24" customHeight="1" spans="2:5" x14ac:dyDescent="0.25">
      <c r="B2" s="2" t="s">
        <v>1</v>
      </c>
      <c r="C2" s="2"/>
      <c r="D2" s="2"/>
      <c r="E2" s="2"/>
    </row>
    <row r="3" ht="6" customHeight="1" x14ac:dyDescent="0.25"/>
    <row r="4" spans="2:5" x14ac:dyDescent="0.25">
      <c r="B4" s="3" t="s">
        <v>2</v>
      </c>
      <c r="C4" s="4" t="s">
        <v>3</v>
      </c>
      <c r="D4" s="4"/>
      <c r="E4" s="4"/>
    </row>
    <row r="5" spans="2:5" x14ac:dyDescent="0.25">
      <c r="B5" s="3" t="s">
        <v>4</v>
      </c>
      <c r="C5" s="4" t="s">
        <v>5</v>
      </c>
      <c r="D5" s="4"/>
      <c r="E5" s="4"/>
    </row>
    <row r="6" spans="2:5" x14ac:dyDescent="0.25">
      <c r="B6" s="3" t="s">
        <v>6</v>
      </c>
      <c r="C6" s="4" t="s">
        <v>7</v>
      </c>
      <c r="D6" s="4"/>
      <c r="E6" s="4"/>
    </row>
    <row r="7" spans="2:5" x14ac:dyDescent="0.25">
      <c r="B7" s="3" t="s">
        <v>8</v>
      </c>
      <c r="C7" s="4" t="s">
        <v>9</v>
      </c>
      <c r="D7" s="4"/>
      <c r="E7" s="4"/>
    </row>
    <row r="8" spans="2:5" x14ac:dyDescent="0.25">
      <c r="B8" s="3" t="s">
        <v>10</v>
      </c>
      <c r="C8" s="4" t="s">
        <v>11</v>
      </c>
      <c r="D8" s="4"/>
      <c r="E8" s="4"/>
    </row>
    <row r="9" spans="2:5" x14ac:dyDescent="0.25">
      <c r="B9" s="3" t="s">
        <v>12</v>
      </c>
      <c r="C9" s="4" t="s">
        <v>13</v>
      </c>
      <c r="D9" s="4"/>
      <c r="E9" s="4"/>
    </row>
    <row r="11" ht="20" customHeight="1" spans="2:4" x14ac:dyDescent="0.25">
      <c r="B11" s="5" t="s">
        <v>14</v>
      </c>
      <c r="C11" s="6" t="s">
        <v>15</v>
      </c>
      <c r="D11" s="7" t="s">
        <v>16</v>
      </c>
    </row>
    <row r="12" ht="34" customHeight="1" spans="2:4" x14ac:dyDescent="0.25">
      <c r="B12" s="8" t="s">
        <v>17</v>
      </c>
      <c r="C12" s="9" t="s">
        <v>18</v>
      </c>
      <c r="D12" s="10" t="s">
        <v>19</v>
      </c>
    </row>
    <row r="14" ht="24" customHeight="1" spans="2:5" x14ac:dyDescent="0.25">
      <c r="B14" s="2" t="s">
        <v>20</v>
      </c>
      <c r="C14" s="2"/>
      <c r="D14" s="2"/>
      <c r="E14" s="2"/>
    </row>
    <row r="15" ht="26" customHeight="1" spans="2:5" x14ac:dyDescent="0.25">
      <c r="B15" s="11" t="s">
        <v>21</v>
      </c>
      <c r="C15" s="11" t="s">
        <v>22</v>
      </c>
      <c r="D15" s="11" t="s">
        <v>23</v>
      </c>
      <c r="E15" s="11" t="s">
        <v>24</v>
      </c>
    </row>
    <row r="16" spans="2:5" x14ac:dyDescent="0.25">
      <c r="B16" s="12" t="s">
        <v>25</v>
      </c>
      <c r="C16" s="13">
        <v>103</v>
      </c>
      <c r="D16" s="14">
        <v>81</v>
      </c>
      <c r="E16" s="13">
        <v>1236</v>
      </c>
    </row>
    <row r="17" spans="2:5" x14ac:dyDescent="0.25">
      <c r="B17" s="15" t="s">
        <v>26</v>
      </c>
      <c r="C17" s="16">
        <v>169</v>
      </c>
      <c r="D17" s="17">
        <v>134</v>
      </c>
      <c r="E17" s="16">
        <v>2028</v>
      </c>
    </row>
    <row r="18" spans="2:5" x14ac:dyDescent="0.25">
      <c r="B18" s="12" t="s">
        <v>27</v>
      </c>
      <c r="C18" s="13">
        <v>672</v>
      </c>
      <c r="D18" s="14">
        <v>531</v>
      </c>
      <c r="E18" s="13">
        <v>8064</v>
      </c>
    </row>
    <row r="19" spans="2:5" x14ac:dyDescent="0.25">
      <c r="B19" s="18" t="s">
        <v>28</v>
      </c>
      <c r="C19" s="19">
        <v>565</v>
      </c>
      <c r="D19" s="20">
        <v>446</v>
      </c>
      <c r="E19" s="19">
        <v>6780</v>
      </c>
    </row>
    <row r="20" spans="2:5" x14ac:dyDescent="0.25">
      <c r="B20" s="12" t="s">
        <v>29</v>
      </c>
      <c r="C20" s="13">
        <v>150</v>
      </c>
      <c r="D20" s="14">
        <v>119</v>
      </c>
      <c r="E20" s="13">
        <v>1800</v>
      </c>
    </row>
    <row r="21" spans="2:5" x14ac:dyDescent="0.25">
      <c r="B21" s="21" t="s">
        <v>30</v>
      </c>
      <c r="C21" s="22">
        <v>1094</v>
      </c>
      <c r="D21" s="23">
        <v>864</v>
      </c>
      <c r="E21" s="22">
        <v>13128</v>
      </c>
    </row>
    <row r="22" spans="2:5" x14ac:dyDescent="0.25">
      <c r="B22" s="21" t="s">
        <v>31</v>
      </c>
      <c r="C22" s="22">
        <v>1659</v>
      </c>
      <c r="D22" s="23">
        <v>1311</v>
      </c>
      <c r="E22" s="22">
        <v>19908</v>
      </c>
    </row>
    <row r="24" ht="24" customHeight="1" spans="2:5" x14ac:dyDescent="0.25">
      <c r="B24" s="24" t="s">
        <v>32</v>
      </c>
      <c r="C24" s="24"/>
      <c r="D24" s="24"/>
      <c r="E24" s="24"/>
    </row>
    <row r="25" spans="2:5" x14ac:dyDescent="0.25">
      <c r="B25" s="25" t="s">
        <v>33</v>
      </c>
      <c r="C25" s="26" t="s">
        <v>34</v>
      </c>
      <c r="D25" s="26"/>
      <c r="E25" s="26"/>
    </row>
    <row r="26" spans="2:5" x14ac:dyDescent="0.25">
      <c r="B26" s="25" t="s">
        <v>35</v>
      </c>
      <c r="C26" s="26" t="s">
        <v>36</v>
      </c>
      <c r="D26" s="26"/>
      <c r="E26" s="26"/>
    </row>
    <row r="28" ht="24" customHeight="1" spans="2:5" x14ac:dyDescent="0.25">
      <c r="B28" s="27" t="s">
        <v>37</v>
      </c>
      <c r="C28" s="27"/>
      <c r="D28" s="27"/>
      <c r="E28" s="27"/>
    </row>
    <row r="29" ht="24" customHeight="1" spans="2:5" x14ac:dyDescent="0.25">
      <c r="B29" s="27" t="s">
        <v>38</v>
      </c>
      <c r="C29" s="27"/>
      <c r="D29" s="27"/>
      <c r="E29" s="27"/>
    </row>
    <row r="30" ht="24" customHeight="1" spans="2:5" x14ac:dyDescent="0.25">
      <c r="B30" s="27" t="s">
        <v>39</v>
      </c>
      <c r="C30" s="27"/>
      <c r="D30" s="27"/>
      <c r="E30" s="27"/>
    </row>
  </sheetData>
  <mergeCells count="15">
    <mergeCell ref="B1:E1"/>
    <mergeCell ref="B2:E2"/>
    <mergeCell ref="C4:E4"/>
    <mergeCell ref="C5:E5"/>
    <mergeCell ref="C6:E6"/>
    <mergeCell ref="C7:E7"/>
    <mergeCell ref="C8:E8"/>
    <mergeCell ref="C9:E9"/>
    <mergeCell ref="B14:E14"/>
    <mergeCell ref="B24:E24"/>
    <mergeCell ref="C25:E25"/>
    <mergeCell ref="C26:E26"/>
    <mergeCell ref="B28:E28"/>
    <mergeCell ref="B29:E29"/>
    <mergeCell ref="B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2" customWidth="1"/>
    <col min="4" max="4" width="13" customWidth="1"/>
    <col min="5" max="5" width="12" customWidth="1"/>
    <col min="6" max="6" width="50" customWidth="1"/>
  </cols>
  <sheetData>
    <row r="1" ht="24" customHeight="1" spans="1:6" x14ac:dyDescent="0.25">
      <c r="A1" s="28" t="s">
        <v>40</v>
      </c>
      <c r="B1" s="28"/>
      <c r="C1" s="28"/>
      <c r="D1" s="28"/>
      <c r="E1" s="28"/>
      <c r="F1" s="28"/>
    </row>
    <row r="3" ht="26" customHeight="1" spans="1:6" x14ac:dyDescent="0.25">
      <c r="A3" s="11" t="s">
        <v>41</v>
      </c>
      <c r="B3" s="11" t="s">
        <v>42</v>
      </c>
      <c r="C3" s="11" t="s">
        <v>43</v>
      </c>
      <c r="D3" s="11" t="s">
        <v>44</v>
      </c>
      <c r="E3" s="11" t="s">
        <v>45</v>
      </c>
      <c r="F3" s="11" t="s">
        <v>46</v>
      </c>
    </row>
    <row r="4" spans="1:6" s="29" customFormat="1" x14ac:dyDescent="0.25">
      <c r="A4" s="30" t="s">
        <v>47</v>
      </c>
      <c r="B4" s="31">
        <v>73</v>
      </c>
      <c r="C4" s="31">
        <v>73</v>
      </c>
      <c r="D4" s="31">
        <v>190</v>
      </c>
      <c r="E4" s="31">
        <v>380</v>
      </c>
      <c r="F4" s="30" t="s">
        <v>48</v>
      </c>
    </row>
    <row r="5" spans="1:6" s="29" customFormat="1" x14ac:dyDescent="0.25">
      <c r="A5" s="32" t="s">
        <v>49</v>
      </c>
      <c r="B5" s="33">
        <v>15</v>
      </c>
      <c r="C5" s="33">
        <v>15</v>
      </c>
      <c r="D5" s="33">
        <v>80</v>
      </c>
      <c r="E5" s="33">
        <v>80</v>
      </c>
      <c r="F5" s="32" t="s">
        <v>50</v>
      </c>
    </row>
    <row r="6" spans="1:6" s="29" customFormat="1" x14ac:dyDescent="0.25">
      <c r="A6" s="30" t="s">
        <v>51</v>
      </c>
      <c r="B6" s="31">
        <v>3</v>
      </c>
      <c r="C6" s="31">
        <v>8</v>
      </c>
      <c r="D6" s="31">
        <v>12</v>
      </c>
      <c r="E6" s="31">
        <v>12</v>
      </c>
      <c r="F6" s="30" t="s">
        <v>52</v>
      </c>
    </row>
    <row r="7" spans="1:6" s="29" customFormat="1" x14ac:dyDescent="0.25">
      <c r="A7" s="32" t="s">
        <v>53</v>
      </c>
      <c r="B7" s="33">
        <v>0</v>
      </c>
      <c r="C7" s="33">
        <v>45</v>
      </c>
      <c r="D7" s="33">
        <v>45</v>
      </c>
      <c r="E7" s="33">
        <v>45</v>
      </c>
      <c r="F7" s="32" t="s">
        <v>54</v>
      </c>
    </row>
    <row r="8" spans="1:6" s="29" customFormat="1" x14ac:dyDescent="0.25">
      <c r="A8" s="30" t="s">
        <v>55</v>
      </c>
      <c r="B8" s="31">
        <v>5</v>
      </c>
      <c r="C8" s="31">
        <v>10</v>
      </c>
      <c r="D8" s="31">
        <v>60</v>
      </c>
      <c r="E8" s="31">
        <v>60</v>
      </c>
      <c r="F8" s="30" t="s">
        <v>56</v>
      </c>
    </row>
    <row r="9" spans="1:6" s="29" customFormat="1" x14ac:dyDescent="0.25">
      <c r="A9" s="32" t="s">
        <v>57</v>
      </c>
      <c r="B9" s="33">
        <v>2</v>
      </c>
      <c r="C9" s="33">
        <v>3</v>
      </c>
      <c r="D9" s="33">
        <v>5</v>
      </c>
      <c r="E9" s="33">
        <v>5</v>
      </c>
      <c r="F9" s="32" t="s">
        <v>58</v>
      </c>
    </row>
    <row r="10" spans="1:6" s="29" customFormat="1" x14ac:dyDescent="0.25">
      <c r="A10" s="30" t="s">
        <v>59</v>
      </c>
      <c r="B10" s="31">
        <v>5</v>
      </c>
      <c r="C10" s="31">
        <v>15</v>
      </c>
      <c r="D10" s="31">
        <v>40</v>
      </c>
      <c r="E10" s="31">
        <v>40</v>
      </c>
      <c r="F10" s="30" t="s">
        <v>60</v>
      </c>
    </row>
    <row r="11" spans="1:6" s="29" customFormat="1" x14ac:dyDescent="0.25">
      <c r="A11" s="32" t="s">
        <v>61</v>
      </c>
      <c r="B11" s="33">
        <v>0</v>
      </c>
      <c r="C11" s="33">
        <v>0</v>
      </c>
      <c r="D11" s="33">
        <v>35</v>
      </c>
      <c r="E11" s="33">
        <v>45</v>
      </c>
      <c r="F11" s="32" t="s">
        <v>62</v>
      </c>
    </row>
    <row r="12" spans="1:6" s="29" customFormat="1" x14ac:dyDescent="0.25">
      <c r="A12" s="30" t="s">
        <v>63</v>
      </c>
      <c r="B12" s="31">
        <v>0</v>
      </c>
      <c r="C12" s="31">
        <v>0</v>
      </c>
      <c r="D12" s="31">
        <v>0</v>
      </c>
      <c r="E12" s="31">
        <v>0</v>
      </c>
      <c r="F12" s="30" t="s">
        <v>64</v>
      </c>
    </row>
    <row r="13" spans="1:6" s="29" customFormat="1" x14ac:dyDescent="0.25">
      <c r="A13" s="32" t="s">
        <v>65</v>
      </c>
      <c r="B13" s="33">
        <v>0</v>
      </c>
      <c r="C13" s="33">
        <v>0</v>
      </c>
      <c r="D13" s="33">
        <v>5</v>
      </c>
      <c r="E13" s="33">
        <v>5</v>
      </c>
      <c r="F13" s="32" t="s">
        <v>66</v>
      </c>
    </row>
    <row r="14" spans="1:6" x14ac:dyDescent="0.25">
      <c r="A14" s="21" t="s">
        <v>67</v>
      </c>
      <c r="B14" s="22">
        <f>SUM(B4:B13)</f>
      </c>
      <c r="C14" s="22">
        <f>SUM(C4:C13)</f>
      </c>
      <c r="D14" s="22">
        <f>SUM(D4:D13)</f>
      </c>
      <c r="E14" s="22">
        <f>SUM(E4:E13)</f>
      </c>
      <c r="F14" s="21" t="s">
        <v>68</v>
      </c>
    </row>
    <row r="16" ht="26" customHeight="1" spans="1:6" x14ac:dyDescent="0.25">
      <c r="A16" s="11" t="s">
        <v>69</v>
      </c>
      <c r="B16" s="11" t="s">
        <v>70</v>
      </c>
      <c r="C16" s="11" t="s">
        <v>70</v>
      </c>
      <c r="D16" s="11" t="s">
        <v>70</v>
      </c>
      <c r="E16" s="11" t="s">
        <v>71</v>
      </c>
      <c r="F16" s="11" t="s">
        <v>72</v>
      </c>
    </row>
    <row r="17" spans="1:6" x14ac:dyDescent="0.25">
      <c r="A17" s="34" t="s">
        <v>73</v>
      </c>
      <c r="B17" s="35" t="s">
        <v>70</v>
      </c>
      <c r="C17" s="35" t="s">
        <v>70</v>
      </c>
      <c r="D17" s="35" t="s">
        <v>70</v>
      </c>
      <c r="E17" s="36">
        <v>50</v>
      </c>
      <c r="F17" s="34" t="s">
        <v>74</v>
      </c>
    </row>
    <row r="18" spans="1:6" x14ac:dyDescent="0.25">
      <c r="A18" s="37" t="s">
        <v>75</v>
      </c>
      <c r="B18" s="35" t="s">
        <v>70</v>
      </c>
      <c r="C18" s="35" t="s">
        <v>70</v>
      </c>
      <c r="D18" s="35" t="s">
        <v>70</v>
      </c>
      <c r="E18" s="19">
        <v>60</v>
      </c>
      <c r="F18" s="37" t="s">
        <v>76</v>
      </c>
    </row>
    <row r="19" spans="1:6" x14ac:dyDescent="0.25">
      <c r="A19" s="34" t="s">
        <v>77</v>
      </c>
      <c r="B19" s="35" t="s">
        <v>70</v>
      </c>
      <c r="C19" s="35" t="s">
        <v>70</v>
      </c>
      <c r="D19" s="35" t="s">
        <v>70</v>
      </c>
      <c r="E19" s="36">
        <v>10</v>
      </c>
      <c r="F19" s="34" t="s">
        <v>78</v>
      </c>
    </row>
    <row r="20" spans="1:6" x14ac:dyDescent="0.25">
      <c r="A20" s="37" t="s">
        <v>79</v>
      </c>
      <c r="B20" s="35" t="s">
        <v>70</v>
      </c>
      <c r="C20" s="35" t="s">
        <v>70</v>
      </c>
      <c r="D20" s="35" t="s">
        <v>70</v>
      </c>
      <c r="E20" s="19">
        <v>10</v>
      </c>
      <c r="F20" s="37" t="s">
        <v>80</v>
      </c>
    </row>
    <row r="21" spans="1:6" x14ac:dyDescent="0.25">
      <c r="A21" s="34" t="s">
        <v>81</v>
      </c>
      <c r="B21" s="35" t="s">
        <v>70</v>
      </c>
      <c r="C21" s="35" t="s">
        <v>70</v>
      </c>
      <c r="D21" s="35" t="s">
        <v>70</v>
      </c>
      <c r="E21" s="36">
        <v>120</v>
      </c>
      <c r="F21" s="34" t="s">
        <v>82</v>
      </c>
    </row>
    <row r="22" spans="1:6" x14ac:dyDescent="0.25">
      <c r="A22" s="37" t="s">
        <v>83</v>
      </c>
      <c r="B22" s="35" t="s">
        <v>70</v>
      </c>
      <c r="C22" s="35" t="s">
        <v>70</v>
      </c>
      <c r="D22" s="35" t="s">
        <v>70</v>
      </c>
      <c r="E22" s="19">
        <v>80</v>
      </c>
      <c r="F22" s="37" t="s">
        <v>84</v>
      </c>
    </row>
    <row r="23" spans="1:6" x14ac:dyDescent="0.25">
      <c r="A23" s="34" t="s">
        <v>85</v>
      </c>
      <c r="B23" s="35" t="s">
        <v>70</v>
      </c>
      <c r="C23" s="35" t="s">
        <v>70</v>
      </c>
      <c r="D23" s="35" t="s">
        <v>70</v>
      </c>
      <c r="E23" s="36">
        <v>160</v>
      </c>
      <c r="F23" s="34" t="s">
        <v>86</v>
      </c>
    </row>
    <row r="24" spans="1:6" x14ac:dyDescent="0.25">
      <c r="A24" s="37" t="s">
        <v>87</v>
      </c>
      <c r="B24" s="35" t="s">
        <v>70</v>
      </c>
      <c r="C24" s="35" t="s">
        <v>70</v>
      </c>
      <c r="D24" s="35" t="s">
        <v>70</v>
      </c>
      <c r="E24" s="19">
        <v>75</v>
      </c>
      <c r="F24" s="37" t="s">
        <v>88</v>
      </c>
    </row>
    <row r="25" spans="1:6" x14ac:dyDescent="0.25">
      <c r="A25" s="21" t="s">
        <v>89</v>
      </c>
      <c r="B25" s="21" t="s">
        <v>70</v>
      </c>
      <c r="C25" s="21" t="s">
        <v>70</v>
      </c>
      <c r="D25" s="21" t="s">
        <v>70</v>
      </c>
      <c r="E25" s="22">
        <f>SUM(E17:E24)</f>
      </c>
      <c r="F25" s="21" t="s">
        <v>70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12" customWidth="1"/>
    <col min="4" max="4" width="8" customWidth="1"/>
    <col min="5" max="6" width="13" customWidth="1"/>
    <col min="7" max="7" width="38" customWidth="1"/>
  </cols>
  <sheetData>
    <row r="1" ht="24" customHeight="1" spans="1:7" x14ac:dyDescent="0.25">
      <c r="A1" s="28" t="s">
        <v>90</v>
      </c>
      <c r="B1" s="28"/>
      <c r="C1" s="28"/>
      <c r="D1" s="28"/>
      <c r="E1" s="28"/>
      <c r="F1" s="28"/>
      <c r="G1" s="28"/>
    </row>
    <row r="2" spans="1:3" x14ac:dyDescent="0.25">
      <c r="A2" s="38" t="s">
        <v>91</v>
      </c>
      <c r="B2" s="21">
        <v>5</v>
      </c>
      <c r="C2" s="39" t="s">
        <v>92</v>
      </c>
    </row>
    <row r="4" ht="26" customHeight="1" spans="1:7" x14ac:dyDescent="0.25">
      <c r="A4" s="11" t="s">
        <v>93</v>
      </c>
      <c r="B4" s="11" t="s">
        <v>94</v>
      </c>
      <c r="C4" s="11" t="s">
        <v>95</v>
      </c>
      <c r="D4" s="11" t="s">
        <v>96</v>
      </c>
      <c r="E4" s="11" t="s">
        <v>22</v>
      </c>
      <c r="F4" s="11" t="s">
        <v>24</v>
      </c>
      <c r="G4" s="11" t="s">
        <v>97</v>
      </c>
    </row>
    <row r="5" ht="24" customHeight="1" spans="1:7" x14ac:dyDescent="0.25">
      <c r="A5" s="40" t="s">
        <v>98</v>
      </c>
      <c r="B5" s="40"/>
      <c r="C5" s="40"/>
      <c r="D5" s="40"/>
      <c r="E5" s="40"/>
      <c r="F5" s="40"/>
      <c r="G5" s="40"/>
    </row>
    <row r="6" spans="1:7" s="29" customFormat="1" x14ac:dyDescent="0.25">
      <c r="A6" s="41" t="s">
        <v>99</v>
      </c>
      <c r="B6" s="42" t="s">
        <v>100</v>
      </c>
      <c r="C6" s="43">
        <v>100</v>
      </c>
      <c r="D6" s="42">
        <v>1</v>
      </c>
      <c r="E6" s="43">
        <f>C6*D6</f>
      </c>
      <c r="F6" s="43">
        <f>E6*12</f>
      </c>
      <c r="G6" s="42" t="s">
        <v>101</v>
      </c>
    </row>
    <row r="7" spans="1:7" s="29" customFormat="1" x14ac:dyDescent="0.25">
      <c r="A7" s="30" t="s">
        <v>102</v>
      </c>
      <c r="B7" s="30" t="s">
        <v>103</v>
      </c>
      <c r="C7" s="31">
        <v>0</v>
      </c>
      <c r="D7" s="30">
        <v>5</v>
      </c>
      <c r="E7" s="31">
        <f>C7*D7</f>
      </c>
      <c r="F7" s="31">
        <f>E7*12</f>
      </c>
      <c r="G7" s="30" t="s">
        <v>104</v>
      </c>
    </row>
    <row r="8" spans="1:7" s="29" customFormat="1" x14ac:dyDescent="0.25">
      <c r="A8" s="30" t="s">
        <v>105</v>
      </c>
      <c r="B8" s="30" t="s">
        <v>106</v>
      </c>
      <c r="C8" s="31">
        <v>0</v>
      </c>
      <c r="D8" s="30">
        <v>1</v>
      </c>
      <c r="E8" s="31">
        <f>C8*D8</f>
      </c>
      <c r="F8" s="31">
        <f>E8*12</f>
      </c>
      <c r="G8" s="30" t="s">
        <v>107</v>
      </c>
    </row>
    <row r="9" spans="1:7" s="29" customFormat="1" x14ac:dyDescent="0.25">
      <c r="A9" s="30" t="s">
        <v>108</v>
      </c>
      <c r="B9" s="30" t="s">
        <v>109</v>
      </c>
      <c r="C9" s="31">
        <v>0</v>
      </c>
      <c r="D9" s="30">
        <v>1</v>
      </c>
      <c r="E9" s="31">
        <f>C9*D9</f>
      </c>
      <c r="F9" s="31">
        <f>E9*12</f>
      </c>
      <c r="G9" s="30" t="s">
        <v>110</v>
      </c>
    </row>
    <row r="10" spans="1:7" s="29" customFormat="1" x14ac:dyDescent="0.25">
      <c r="A10" s="30" t="s">
        <v>111</v>
      </c>
      <c r="B10" s="30" t="s">
        <v>112</v>
      </c>
      <c r="C10" s="31">
        <v>8</v>
      </c>
      <c r="D10" s="30">
        <v>5</v>
      </c>
      <c r="E10" s="31">
        <f>C10*D10</f>
      </c>
      <c r="F10" s="31">
        <f>E10*12</f>
      </c>
      <c r="G10" s="30" t="s">
        <v>113</v>
      </c>
    </row>
    <row r="11" spans="1:7" s="29" customFormat="1" x14ac:dyDescent="0.25">
      <c r="A11" s="44" t="s">
        <v>114</v>
      </c>
      <c r="B11" s="45" t="s">
        <v>115</v>
      </c>
      <c r="C11" s="46">
        <v>8.25</v>
      </c>
      <c r="D11" s="45">
        <v>1</v>
      </c>
      <c r="E11" s="46">
        <f>C11*D11</f>
      </c>
      <c r="F11" s="46">
        <f>E11*12</f>
      </c>
      <c r="G11" s="45" t="s">
        <v>116</v>
      </c>
    </row>
    <row r="12" spans="1:7" s="29" customFormat="1" x14ac:dyDescent="0.25">
      <c r="A12" s="30" t="s">
        <v>117</v>
      </c>
      <c r="B12" s="30" t="s">
        <v>118</v>
      </c>
      <c r="C12" s="31">
        <v>1.25</v>
      </c>
      <c r="D12" s="30">
        <v>1</v>
      </c>
      <c r="E12" s="31">
        <f>C12*D12</f>
      </c>
      <c r="F12" s="31">
        <f>E12*12</f>
      </c>
      <c r="G12" s="30" t="s">
        <v>119</v>
      </c>
    </row>
    <row r="13" spans="1:7" x14ac:dyDescent="0.25">
      <c r="A13" s="21" t="s">
        <v>120</v>
      </c>
      <c r="B13" s="21" t="s">
        <v>70</v>
      </c>
      <c r="C13" s="21" t="s">
        <v>70</v>
      </c>
      <c r="D13" s="21" t="s">
        <v>70</v>
      </c>
      <c r="E13" s="22">
        <f>SUM(E6:E12)</f>
      </c>
      <c r="F13" s="22">
        <f>SUM(F6:F12)</f>
      </c>
      <c r="G13" s="21" t="s">
        <v>70</v>
      </c>
    </row>
    <row r="14" ht="24" customHeight="1" spans="1:7" x14ac:dyDescent="0.25">
      <c r="A14" s="47" t="s">
        <v>121</v>
      </c>
      <c r="B14" s="47"/>
      <c r="C14" s="47"/>
      <c r="D14" s="47"/>
      <c r="E14" s="47"/>
      <c r="F14" s="47"/>
      <c r="G14" s="47"/>
    </row>
    <row r="15" spans="1:7" s="29" customFormat="1" x14ac:dyDescent="0.25">
      <c r="A15" s="30" t="s">
        <v>122</v>
      </c>
      <c r="B15" s="30" t="s">
        <v>123</v>
      </c>
      <c r="C15" s="31">
        <v>99</v>
      </c>
      <c r="D15" s="30">
        <v>1</v>
      </c>
      <c r="E15" s="31">
        <f>C15*D15</f>
      </c>
      <c r="F15" s="31">
        <f>E15*12</f>
      </c>
      <c r="G15" s="30" t="s">
        <v>124</v>
      </c>
    </row>
    <row r="16" spans="1:7" s="29" customFormat="1" x14ac:dyDescent="0.25">
      <c r="A16" s="30" t="s">
        <v>102</v>
      </c>
      <c r="B16" s="30" t="s">
        <v>125</v>
      </c>
      <c r="C16" s="31">
        <v>40</v>
      </c>
      <c r="D16" s="30">
        <v>1</v>
      </c>
      <c r="E16" s="31">
        <f>C16*D16</f>
      </c>
      <c r="F16" s="31">
        <f>E16*12</f>
      </c>
      <c r="G16" s="30" t="s">
        <v>126</v>
      </c>
    </row>
    <row r="17" spans="1:7" s="29" customFormat="1" x14ac:dyDescent="0.25">
      <c r="A17" s="30" t="s">
        <v>127</v>
      </c>
      <c r="B17" s="30" t="s">
        <v>128</v>
      </c>
      <c r="C17" s="31">
        <v>26</v>
      </c>
      <c r="D17" s="30">
        <v>1</v>
      </c>
      <c r="E17" s="31">
        <f>C17*D17</f>
      </c>
      <c r="F17" s="31">
        <f>E17*12</f>
      </c>
      <c r="G17" s="30" t="s">
        <v>129</v>
      </c>
    </row>
    <row r="18" spans="1:7" s="29" customFormat="1" x14ac:dyDescent="0.25">
      <c r="A18" s="30" t="s">
        <v>130</v>
      </c>
      <c r="B18" s="30" t="s">
        <v>131</v>
      </c>
      <c r="C18" s="31">
        <v>39</v>
      </c>
      <c r="D18" s="30">
        <v>1</v>
      </c>
      <c r="E18" s="31">
        <f>C18*D18</f>
      </c>
      <c r="F18" s="31">
        <f>E18*12</f>
      </c>
      <c r="G18" s="30" t="s">
        <v>132</v>
      </c>
    </row>
    <row r="19" spans="1:7" x14ac:dyDescent="0.25">
      <c r="A19" s="48" t="s">
        <v>133</v>
      </c>
      <c r="B19" s="48" t="s">
        <v>70</v>
      </c>
      <c r="C19" s="48" t="s">
        <v>70</v>
      </c>
      <c r="D19" s="48" t="s">
        <v>70</v>
      </c>
      <c r="E19" s="49">
        <f>SUM(E15:E18)</f>
      </c>
      <c r="F19" s="49">
        <f>SUM(F15:F18)</f>
      </c>
      <c r="G19" s="48" t="s">
        <v>70</v>
      </c>
    </row>
    <row r="20" ht="24" customHeight="1" spans="1:7" x14ac:dyDescent="0.25">
      <c r="A20" s="47" t="s">
        <v>134</v>
      </c>
      <c r="B20" s="47"/>
      <c r="C20" s="47"/>
      <c r="D20" s="47"/>
      <c r="E20" s="47"/>
      <c r="F20" s="47"/>
      <c r="G20" s="47"/>
    </row>
    <row r="21" spans="1:7" x14ac:dyDescent="0.25">
      <c r="A21" s="50" t="s">
        <v>135</v>
      </c>
      <c r="B21" s="51" t="s">
        <v>136</v>
      </c>
      <c r="C21" s="52">
        <v>25</v>
      </c>
      <c r="D21" s="53">
        <v>1</v>
      </c>
      <c r="E21" s="52">
        <f>C21*D21</f>
      </c>
      <c r="F21" t="s">
        <v>70</v>
      </c>
      <c r="G21" s="51" t="s">
        <v>137</v>
      </c>
    </row>
  </sheetData>
  <mergeCells count="4">
    <mergeCell ref="A1:G1"/>
    <mergeCell ref="A5:G5"/>
    <mergeCell ref="A14:G14"/>
    <mergeCell ref="A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 showGridLines="0"/>
  </sheetViews>
  <sheetFormatPr defaultRowHeight="15" outlineLevelRow="0" outlineLevelCol="0" x14ac:dyDescent="55"/>
  <cols>
    <col min="1" max="1" width="108" customWidth="1"/>
  </cols>
  <sheetData>
    <row r="1" ht="24" customHeight="1" spans="1:1" x14ac:dyDescent="0.25">
      <c r="A1" s="28" t="s">
        <v>138</v>
      </c>
    </row>
    <row r="3" ht="28" customHeight="1" spans="1:1" x14ac:dyDescent="0.25">
      <c r="A3" s="29" t="s">
        <v>139</v>
      </c>
    </row>
    <row r="4" ht="28" customHeight="1" spans="1:1" x14ac:dyDescent="0.25">
      <c r="A4" s="29" t="s">
        <v>140</v>
      </c>
    </row>
    <row r="5" ht="28" customHeight="1" spans="1:1" x14ac:dyDescent="0.25">
      <c r="A5" s="29" t="s">
        <v>141</v>
      </c>
    </row>
    <row r="6" ht="28" customHeight="1" spans="1:1" x14ac:dyDescent="0.25">
      <c r="A6" s="29" t="s">
        <v>142</v>
      </c>
    </row>
    <row r="7" ht="28" customHeight="1" spans="1:1" x14ac:dyDescent="0.25">
      <c r="A7" s="29" t="s">
        <v>143</v>
      </c>
    </row>
    <row r="8" ht="28" customHeight="1" spans="1:1" x14ac:dyDescent="0.25">
      <c r="A8" s="29" t="s">
        <v>144</v>
      </c>
    </row>
    <row r="9" ht="28" customHeight="1" spans="1:1" x14ac:dyDescent="0.25">
      <c r="A9" s="29" t="s">
        <v>145</v>
      </c>
    </row>
    <row r="10" ht="28" customHeight="1" spans="1:1" x14ac:dyDescent="0.25">
      <c r="A10" s="29" t="s">
        <v>146</v>
      </c>
    </row>
    <row r="11" ht="28" customHeight="1" spans="1:1" x14ac:dyDescent="0.25">
      <c r="A11" s="29" t="s">
        <v>147</v>
      </c>
    </row>
    <row r="12" ht="28" customHeight="1" spans="1:1" x14ac:dyDescent="0.25">
      <c r="A12" s="29" t="s">
        <v>148</v>
      </c>
    </row>
    <row r="13" ht="28" customHeight="1" spans="1:1" x14ac:dyDescent="0.25">
      <c r="A13" s="29" t="s">
        <v>149</v>
      </c>
    </row>
    <row r="14" ht="28" customHeight="1" spans="1:1" x14ac:dyDescent="0.25">
      <c r="A14" s="29" t="s">
        <v>150</v>
      </c>
    </row>
    <row r="15" ht="28" customHeight="1" spans="1:1" x14ac:dyDescent="0.25">
      <c r="A15" s="29" t="s">
        <v>151</v>
      </c>
    </row>
    <row r="16" ht="28" customHeight="1" spans="1:1" x14ac:dyDescent="0.25">
      <c r="A16" s="29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Azure Infrastructure</vt:lpstr>
      <vt:lpstr>Development Tools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Edu</dc:creator>
  <dc:title/>
  <dc:subject/>
  <dc:description/>
  <cp:keywords/>
  <cp:category/>
  <cp:lastModifiedBy>Unknown</cp:lastModifiedBy>
  <dcterms:created xsi:type="dcterms:W3CDTF">2026-06-05T09:31:30Z</dcterms:created>
  <dcterms:modified xsi:type="dcterms:W3CDTF">2026-06-05T09:31:30Z</dcterms:modified>
</cp:coreProperties>
</file>