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nvironments" state="visible" r:id="rId5"/>
    <sheet sheetId="3" name="Phase 2 add-ons" state="visible" r:id="rId6"/>
    <sheet sheetId="4" name="Assumptions" state="visible" r:id="rId7"/>
  </sheets>
  <calcPr calcId="171027"/>
</workbook>
</file>

<file path=xl/sharedStrings.xml><?xml version="1.0" encoding="utf-8"?>
<sst xmlns="http://schemas.openxmlformats.org/spreadsheetml/2006/main" count="105" uniqueCount="100">
  <si>
    <t>One Edu — Azure Monthly Cost (App Service, Windows, UK South)</t>
  </si>
  <si>
    <t>Environment / Scenario</t>
  </si>
  <si>
    <t>Monthly USD</t>
  </si>
  <si>
    <t>Monthly GBP</t>
  </si>
  <si>
    <t>Annual USD</t>
  </si>
  <si>
    <t>DEV — app + DB matched to UAT (parity)</t>
  </si>
  <si>
    <t>UAT — lean, prod-like (~50%)</t>
  </si>
  <si>
    <t>PROD — No HA</t>
  </si>
  <si>
    <t>PROD — With HA</t>
  </si>
  <si>
    <t>Phase 2 add-ons (PROD, when each module goes live)</t>
  </si>
  <si>
    <t>TOTAL — all envs running (DEV + UAT + PROD HA)</t>
  </si>
  <si>
    <t>TOTAL — fully built (DEV + UAT + PROD HA + Phase 2)</t>
  </si>
  <si>
    <t>List-price estimates (USD), UK South, pay-as-you-go, 730 hrs/mo. Verify in the Azure Pricing Calculator: https://azure.microsoft.com/pricing/calculator/</t>
  </si>
  <si>
    <t>DEV mirrors UAT on App Service (S1) + SQL (S0) for environment parity; other DEV components stay minimal to cut cost.</t>
  </si>
  <si>
    <t>DEV/UAT do not need to run 24/7 — stopping compute off-hours and using an Azure Dev/Test subscription cuts these further (see Assumptions).</t>
  </si>
  <si>
    <t>GBP at an indicative 0.79 rate; EA/CSP discounts will differ.</t>
  </si>
  <si>
    <t>DEV / UAT / PROD — per-component (lowest viable SKUs)</t>
  </si>
  <si>
    <t>Service</t>
  </si>
  <si>
    <t>DEV USD</t>
  </si>
  <si>
    <t>UAT USD</t>
  </si>
  <si>
    <t>PROD No-HA</t>
  </si>
  <si>
    <t>PROD HA</t>
  </si>
  <si>
    <t>SKU per env  (DEV / UAT / PROD)</t>
  </si>
  <si>
    <t>App Service Plan</t>
  </si>
  <si>
    <t>S1 / S1 / P1v3 — Windows. DEV=UAT for parity (VNet, slots). PROD HA = P1v3 x2 zone-redundant.</t>
  </si>
  <si>
    <t>Azure SQL Database</t>
  </si>
  <si>
    <t>S0 10 DTU / S0 10 DTU / S2 50 DTU. DEV=UAT. Built-in in-region HA on all.</t>
  </si>
  <si>
    <t>Blob Storage</t>
  </si>
  <si>
    <t>Standard LRS, Hot.</t>
  </si>
  <si>
    <t>Front Door + WAF</t>
  </si>
  <si>
    <t>DEV hits App Service directly; Standard + WAF in UAT/PROD.</t>
  </si>
  <si>
    <t>Communication Services</t>
  </si>
  <si>
    <t>Email + SMS; volume scales by env (SMS is the variable).</t>
  </si>
  <si>
    <t>Key Vault</t>
  </si>
  <si>
    <t>Standard.</t>
  </si>
  <si>
    <t>Azure Monitor</t>
  </si>
  <si>
    <t>App Insights + Log Analytics; smaller retention/ingest in DEV/UAT.</t>
  </si>
  <si>
    <t>Defender for Cloud</t>
  </si>
  <si>
    <t>Off in DEV/UAT; enabled in PROD (App Service + SQL).</t>
  </si>
  <si>
    <t>Microsoft Entra External ID</t>
  </si>
  <si>
    <t>Free &lt; 50k MAU; separate tenant per environment.</t>
  </si>
  <si>
    <t>Backup</t>
  </si>
  <si>
    <t>SQL PITR included; extra retention in PROD.</t>
  </si>
  <si>
    <t>TOTAL (USD / month)</t>
  </si>
  <si>
    <t/>
  </si>
  <si>
    <t>TOTAL (GBP / month, indicative)</t>
  </si>
  <si>
    <t>Phase 2 — add to PROD when each module goes live</t>
  </si>
  <si>
    <t>SKU</t>
  </si>
  <si>
    <t>Trigger (when to add)</t>
  </si>
  <si>
    <t>USD/mo</t>
  </si>
  <si>
    <t>Notes</t>
  </si>
  <si>
    <t>SignalR / Web PubSub</t>
  </si>
  <si>
    <t>Standard, 1 unit</t>
  </si>
  <si>
    <t>Real-time messaging (MSG-001)</t>
  </si>
  <si>
    <t>In-app chat, live progress.</t>
  </si>
  <si>
    <t>Azure Cache for Redis</t>
  </si>
  <si>
    <t>Standard C1 (1 GB)</t>
  </si>
  <si>
    <t>Sessions / rate-limit at scale</t>
  </si>
  <si>
    <t>Offloads DB; API-003, AUTH-005.</t>
  </si>
  <si>
    <t>Service Bus</t>
  </si>
  <si>
    <t>Standard</t>
  </si>
  <si>
    <t>Async jobs / migration (MIG)</t>
  </si>
  <si>
    <t>Queues, webhook delivery.</t>
  </si>
  <si>
    <t>Notification Hubs</t>
  </si>
  <si>
    <t>Basic</t>
  </si>
  <si>
    <t>Mobile app ships (MOB-004)</t>
  </si>
  <si>
    <t>APNS/FCM push.</t>
  </si>
  <si>
    <t>Azure OpenAI</t>
  </si>
  <si>
    <t>Standard (usage)</t>
  </si>
  <si>
    <t>AI Insights module (§5.12)</t>
  </si>
  <si>
    <t>In-region inference (AI-002). Usage-based.</t>
  </si>
  <si>
    <t>AI Search</t>
  </si>
  <si>
    <t>AI Insights / tutor RAG</t>
  </si>
  <si>
    <t>Grounds AI in tenant content.</t>
  </si>
  <si>
    <t>API Management</t>
  </si>
  <si>
    <t>Basic v2</t>
  </si>
  <si>
    <t>Public/partner API (API-004)</t>
  </si>
  <si>
    <t>Webhooks, rate-limit, scopes.</t>
  </si>
  <si>
    <t>Private Endpoints + NAT</t>
  </si>
  <si>
    <t>4 PEs + NAT Gateway</t>
  </si>
  <si>
    <t>Compliance hardening (SEC-023)</t>
  </si>
  <si>
    <t>Private data tier, no public DB.</t>
  </si>
  <si>
    <t>TOTAL (if all activated)</t>
  </si>
  <si>
    <t>USD / month</t>
  </si>
  <si>
    <t>Assumptions &amp; Notes</t>
  </si>
  <si>
    <t>•  Scope: ONE tenant (single institution), ~5,000 students + parents + ~300 staff; ~300-500 peak concurrent users (PROD).</t>
  </si>
  <si>
    <t>•  Region: UK South. OS: Windows. Billing: pay-as-you-go list prices, 730 hrs/month, USD.</t>
  </si>
  <si>
    <t>•  DEV mirrors UAT on App Service (Standard S1) + Azure SQL (S0) for environment parity — Basic B1 lacks VNet integration &amp; deployment slots, and Basic SQL caps at 2 GB, which hides integration issues.</t>
  </si>
  <si>
    <t>•  DEV keeps other cost savers: no Front Door/WAF (use the *.azurewebsites.net URL), Defender off, smaller monitor retention, anonymised seed data.</t>
  </si>
  <si>
    <t>•  UAT = lean prod-like (~50%): App Service S1, SQL S0, Front Door+WAF for path parity, Defender optional. Spin up only during test cycles.</t>
  </si>
  <si>
    <t>•  PROD = Premium v3 P1v3. HA = 2 instances, zone-redundant (plan must be created zone-redundant; needs &gt;= 2 instances).</t>
  </si>
  <si>
    <t>•  Azure SQL includes built-in in-region HA (99.99%) at no extra cost on all tiers. Zone-redundant DB needs Premium/Business-Critical or GP vCore (a tier jump).</t>
  </si>
  <si>
    <t>•  Biggest DEV/UAT saving: they don't run 24/7. Stop App Service off-hours / use serverless SQL auto-pause; an Azure Dev/Test subscription gives discounted non-prod rates and waives some Windows license costs.</t>
  </si>
  <si>
    <t>•  Windows App Service costs more than Linux (license). Linux DEV/UAT would cut cost further if acceptable.</t>
  </si>
  <si>
    <t>•  Entra External ID is free under 50,000 monthly active users; separate tenant per environment.</t>
  </si>
  <si>
    <t>•  SMS (Communication Services) is the most variable line — model real monthly send volume (OTP + alerts).</t>
  </si>
  <si>
    <t>•  EXCLUDED: payment gateway fees (~2.9%/txn), Apple/Google store accounts, one-time build/dev effort, large data egress.</t>
  </si>
  <si>
    <t>•  Cost-down levers (PROD): 1-3 yr reservations/savings plans cut App Service + SQL ~30-40%.</t>
  </si>
  <si>
    <t>•  Multi-tenant economics: Front Door, Defender, monitoring, networking and the control plane are SHARED - per-tenant cost falls as you add institutions.</t>
  </si>
  <si>
    <t>•  These are ESTIMATES on public list prices. Authoritative figure = Azure Pricing Calculator export for your region with EA/CSP discount.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</si>
</sst>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£&quot;#,##0"/>
  </numFmts>
  <fonts count="7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FFFFFF"/>
      <sz val="11"/>
    </font>
    <font/>
    <font>
      <b/>
    </font>
    <font>
      <i/>
      <color rgb="FF666666"/>
      <sz val="9"/>
    </font>
    <font>
      <i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2E5E8C"/>
      </patternFill>
    </fill>
    <fill>
      <patternFill patternType="solid">
        <fgColor rgb="FFEAF1F8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3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4" fillId="5" borderId="0" xfId="0" applyFont="1" applyFill="1"/>
    <xf numFmtId="164" fontId="0" fillId="5" borderId="0" xfId="0" applyNumberFormat="1" applyFill="1"/>
    <xf numFmtId="165" fontId="0" fillId="5" borderId="0" xfId="0" applyNumberFormat="1" applyFill="1"/>
    <xf numFmtId="0" fontId="5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164" fontId="4" fillId="5" borderId="0" xfId="0" applyNumberFormat="1" applyFont="1" applyFill="1"/>
    <xf numFmtId="0" fontId="6" fillId="0" borderId="0" xfId="0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50" customWidth="1"/>
    <col min="2" max="4" width="16" customWidth="1"/>
  </cols>
  <sheetData>
    <row r="1" ht="32" customHeight="1" spans="1:4" x14ac:dyDescent="0.25">
      <c r="A1" s="1" t="s">
        <v>0</v>
      </c>
      <c r="B1" s="1"/>
      <c r="C1" s="1"/>
      <c r="D1" s="1"/>
    </row>
    <row r="3" ht="28" customHeight="1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5</v>
      </c>
      <c r="B4" s="4">
        <v>103</v>
      </c>
      <c r="C4" s="5">
        <f>B4*0.79</f>
      </c>
      <c r="D4" s="4">
        <f>B4*12</f>
      </c>
    </row>
    <row r="5" spans="1:4" x14ac:dyDescent="0.25">
      <c r="A5" s="6" t="s">
        <v>6</v>
      </c>
      <c r="B5" s="7">
        <v>169</v>
      </c>
      <c r="C5" s="8">
        <f>B5*0.79</f>
      </c>
      <c r="D5" s="7">
        <f>B5*12</f>
      </c>
    </row>
    <row r="6" spans="1:4" x14ac:dyDescent="0.25">
      <c r="A6" s="3" t="s">
        <v>7</v>
      </c>
      <c r="B6" s="4">
        <v>472</v>
      </c>
      <c r="C6" s="5">
        <f>B6*0.79</f>
      </c>
      <c r="D6" s="4">
        <f>B6*12</f>
      </c>
    </row>
    <row r="7" spans="1:4" x14ac:dyDescent="0.25">
      <c r="A7" s="6" t="s">
        <v>8</v>
      </c>
      <c r="B7" s="7">
        <v>672</v>
      </c>
      <c r="C7" s="8">
        <f>B7*0.79</f>
      </c>
      <c r="D7" s="7">
        <f>B7*12</f>
      </c>
    </row>
    <row r="8" spans="1:4" x14ac:dyDescent="0.25">
      <c r="A8" s="3" t="s">
        <v>9</v>
      </c>
      <c r="B8" s="4">
        <v>565</v>
      </c>
      <c r="C8" s="5">
        <f>B8*0.79</f>
      </c>
      <c r="D8" s="4">
        <f>B8*12</f>
      </c>
    </row>
    <row r="9" spans="1:4" x14ac:dyDescent="0.25">
      <c r="A9" s="9" t="s">
        <v>10</v>
      </c>
      <c r="B9" s="10">
        <v>944</v>
      </c>
      <c r="C9" s="11">
        <f>B9*0.79</f>
      </c>
      <c r="D9" s="10">
        <f>B9*12</f>
      </c>
    </row>
    <row r="10" spans="1:4" x14ac:dyDescent="0.25">
      <c r="A10" s="9" t="s">
        <v>11</v>
      </c>
      <c r="B10" s="10">
        <v>1509</v>
      </c>
      <c r="C10" s="11">
        <f>B10*0.79</f>
      </c>
      <c r="D10" s="10">
        <f>B10*12</f>
      </c>
    </row>
    <row r="12" spans="1:1" x14ac:dyDescent="0.25">
      <c r="A12" s="12" t="s">
        <v>12</v>
      </c>
    </row>
    <row r="13" spans="1:1" x14ac:dyDescent="0.25">
      <c r="A13" s="12" t="s">
        <v>13</v>
      </c>
    </row>
    <row r="14" spans="1:1" x14ac:dyDescent="0.25">
      <c r="A14" s="12" t="s">
        <v>14</v>
      </c>
    </row>
    <row r="15" spans="1:1" x14ac:dyDescent="0.25">
      <c r="A15" s="12" t="s">
        <v>15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4" width="14" customWidth="1"/>
    <col min="5" max="5" width="13" customWidth="1"/>
    <col min="6" max="6" width="48" customWidth="1"/>
  </cols>
  <sheetData>
    <row r="1" ht="32" customHeight="1" spans="1:6" x14ac:dyDescent="0.25">
      <c r="A1" s="1" t="s">
        <v>16</v>
      </c>
      <c r="B1" s="1"/>
      <c r="C1" s="1"/>
      <c r="D1" s="1"/>
      <c r="E1" s="1"/>
      <c r="F1" s="1"/>
    </row>
    <row r="3" ht="28" customHeight="1" spans="1:6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</row>
    <row r="4" spans="1:6" s="13" customFormat="1" x14ac:dyDescent="0.25">
      <c r="A4" s="13" t="s">
        <v>23</v>
      </c>
      <c r="B4" s="14">
        <v>73</v>
      </c>
      <c r="C4" s="14">
        <v>73</v>
      </c>
      <c r="D4" s="14">
        <v>190</v>
      </c>
      <c r="E4" s="14">
        <v>380</v>
      </c>
      <c r="F4" s="13" t="s">
        <v>24</v>
      </c>
    </row>
    <row r="5" spans="1:6" s="13" customFormat="1" x14ac:dyDescent="0.25">
      <c r="A5" s="15" t="s">
        <v>25</v>
      </c>
      <c r="B5" s="16">
        <v>15</v>
      </c>
      <c r="C5" s="16">
        <v>15</v>
      </c>
      <c r="D5" s="16">
        <v>80</v>
      </c>
      <c r="E5" s="16">
        <v>80</v>
      </c>
      <c r="F5" s="15" t="s">
        <v>26</v>
      </c>
    </row>
    <row r="6" spans="1:6" s="13" customFormat="1" x14ac:dyDescent="0.25">
      <c r="A6" s="13" t="s">
        <v>27</v>
      </c>
      <c r="B6" s="14">
        <v>3</v>
      </c>
      <c r="C6" s="14">
        <v>8</v>
      </c>
      <c r="D6" s="14">
        <v>12</v>
      </c>
      <c r="E6" s="14">
        <v>12</v>
      </c>
      <c r="F6" s="13" t="s">
        <v>28</v>
      </c>
    </row>
    <row r="7" spans="1:6" s="13" customFormat="1" x14ac:dyDescent="0.25">
      <c r="A7" s="15" t="s">
        <v>29</v>
      </c>
      <c r="B7" s="16">
        <v>0</v>
      </c>
      <c r="C7" s="16">
        <v>45</v>
      </c>
      <c r="D7" s="16">
        <v>45</v>
      </c>
      <c r="E7" s="16">
        <v>45</v>
      </c>
      <c r="F7" s="15" t="s">
        <v>30</v>
      </c>
    </row>
    <row r="8" spans="1:6" s="13" customFormat="1" x14ac:dyDescent="0.25">
      <c r="A8" s="13" t="s">
        <v>31</v>
      </c>
      <c r="B8" s="14">
        <v>5</v>
      </c>
      <c r="C8" s="14">
        <v>10</v>
      </c>
      <c r="D8" s="14">
        <v>60</v>
      </c>
      <c r="E8" s="14">
        <v>60</v>
      </c>
      <c r="F8" s="13" t="s">
        <v>32</v>
      </c>
    </row>
    <row r="9" spans="1:6" s="13" customFormat="1" x14ac:dyDescent="0.25">
      <c r="A9" s="15" t="s">
        <v>33</v>
      </c>
      <c r="B9" s="16">
        <v>2</v>
      </c>
      <c r="C9" s="16">
        <v>3</v>
      </c>
      <c r="D9" s="16">
        <v>5</v>
      </c>
      <c r="E9" s="16">
        <v>5</v>
      </c>
      <c r="F9" s="15" t="s">
        <v>34</v>
      </c>
    </row>
    <row r="10" spans="1:6" s="13" customFormat="1" x14ac:dyDescent="0.25">
      <c r="A10" s="13" t="s">
        <v>35</v>
      </c>
      <c r="B10" s="14">
        <v>5</v>
      </c>
      <c r="C10" s="14">
        <v>15</v>
      </c>
      <c r="D10" s="14">
        <v>40</v>
      </c>
      <c r="E10" s="14">
        <v>40</v>
      </c>
      <c r="F10" s="13" t="s">
        <v>36</v>
      </c>
    </row>
    <row r="11" spans="1:6" s="13" customFormat="1" x14ac:dyDescent="0.25">
      <c r="A11" s="15" t="s">
        <v>37</v>
      </c>
      <c r="B11" s="16">
        <v>0</v>
      </c>
      <c r="C11" s="16">
        <v>0</v>
      </c>
      <c r="D11" s="16">
        <v>35</v>
      </c>
      <c r="E11" s="16">
        <v>45</v>
      </c>
      <c r="F11" s="15" t="s">
        <v>38</v>
      </c>
    </row>
    <row r="12" spans="1:6" s="13" customFormat="1" x14ac:dyDescent="0.25">
      <c r="A12" s="13" t="s">
        <v>39</v>
      </c>
      <c r="B12" s="14">
        <v>0</v>
      </c>
      <c r="C12" s="14">
        <v>0</v>
      </c>
      <c r="D12" s="14">
        <v>0</v>
      </c>
      <c r="E12" s="14">
        <v>0</v>
      </c>
      <c r="F12" s="13" t="s">
        <v>40</v>
      </c>
    </row>
    <row r="13" spans="1:6" s="13" customFormat="1" x14ac:dyDescent="0.25">
      <c r="A13" s="15" t="s">
        <v>41</v>
      </c>
      <c r="B13" s="16">
        <v>0</v>
      </c>
      <c r="C13" s="16">
        <v>0</v>
      </c>
      <c r="D13" s="16">
        <v>5</v>
      </c>
      <c r="E13" s="16">
        <v>5</v>
      </c>
      <c r="F13" s="15" t="s">
        <v>42</v>
      </c>
    </row>
    <row r="14" spans="1:6" x14ac:dyDescent="0.25">
      <c r="A14" s="9" t="s">
        <v>43</v>
      </c>
      <c r="B14" s="17">
        <f>SUM(B4:B13)</f>
      </c>
      <c r="C14" s="17">
        <f>SUM(C4:C13)</f>
      </c>
      <c r="D14" s="17">
        <f>SUM(D4:D13)</f>
      </c>
      <c r="E14" s="17">
        <f>SUM(E4:E13)</f>
      </c>
      <c r="F14" s="9" t="s">
        <v>44</v>
      </c>
    </row>
    <row r="15" spans="1:6" x14ac:dyDescent="0.25">
      <c r="A15" s="18" t="s">
        <v>45</v>
      </c>
      <c r="B15" s="19">
        <f>B14*0.79</f>
      </c>
      <c r="C15" s="19">
        <f>C14*0.79</f>
      </c>
      <c r="D15" s="19">
        <f>D14*0.79</f>
      </c>
      <c r="E15" s="19">
        <f>E14*0.79</f>
      </c>
      <c r="F15" s="18" t="s">
        <v>44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3" width="34" customWidth="1"/>
    <col min="4" max="4" width="12" customWidth="1"/>
    <col min="5" max="5" width="32" customWidth="1"/>
  </cols>
  <sheetData>
    <row r="1" ht="32" customHeight="1" spans="1:5" x14ac:dyDescent="0.25">
      <c r="A1" s="1" t="s">
        <v>46</v>
      </c>
      <c r="B1" s="1"/>
      <c r="C1" s="1"/>
      <c r="D1" s="1"/>
      <c r="E1" s="1"/>
    </row>
    <row r="3" ht="28" customHeight="1" spans="1:5" x14ac:dyDescent="0.25">
      <c r="A3" s="2" t="s">
        <v>17</v>
      </c>
      <c r="B3" s="2" t="s">
        <v>47</v>
      </c>
      <c r="C3" s="2" t="s">
        <v>48</v>
      </c>
      <c r="D3" s="2" t="s">
        <v>49</v>
      </c>
      <c r="E3" s="2" t="s">
        <v>50</v>
      </c>
    </row>
    <row r="4" spans="1:5" s="13" customFormat="1" x14ac:dyDescent="0.25">
      <c r="A4" s="13" t="s">
        <v>51</v>
      </c>
      <c r="B4" s="13" t="s">
        <v>52</v>
      </c>
      <c r="C4" s="13" t="s">
        <v>53</v>
      </c>
      <c r="D4" s="14">
        <v>50</v>
      </c>
      <c r="E4" s="13" t="s">
        <v>54</v>
      </c>
    </row>
    <row r="5" spans="1:5" s="13" customFormat="1" x14ac:dyDescent="0.25">
      <c r="A5" s="15" t="s">
        <v>55</v>
      </c>
      <c r="B5" s="15" t="s">
        <v>56</v>
      </c>
      <c r="C5" s="15" t="s">
        <v>57</v>
      </c>
      <c r="D5" s="16">
        <v>60</v>
      </c>
      <c r="E5" s="15" t="s">
        <v>58</v>
      </c>
    </row>
    <row r="6" spans="1:5" s="13" customFormat="1" x14ac:dyDescent="0.25">
      <c r="A6" s="13" t="s">
        <v>59</v>
      </c>
      <c r="B6" s="13" t="s">
        <v>60</v>
      </c>
      <c r="C6" s="13" t="s">
        <v>61</v>
      </c>
      <c r="D6" s="14">
        <v>10</v>
      </c>
      <c r="E6" s="13" t="s">
        <v>62</v>
      </c>
    </row>
    <row r="7" spans="1:5" s="13" customFormat="1" x14ac:dyDescent="0.25">
      <c r="A7" s="15" t="s">
        <v>63</v>
      </c>
      <c r="B7" s="15" t="s">
        <v>64</v>
      </c>
      <c r="C7" s="15" t="s">
        <v>65</v>
      </c>
      <c r="D7" s="16">
        <v>10</v>
      </c>
      <c r="E7" s="15" t="s">
        <v>66</v>
      </c>
    </row>
    <row r="8" spans="1:5" s="13" customFormat="1" x14ac:dyDescent="0.25">
      <c r="A8" s="13" t="s">
        <v>67</v>
      </c>
      <c r="B8" s="13" t="s">
        <v>68</v>
      </c>
      <c r="C8" s="13" t="s">
        <v>69</v>
      </c>
      <c r="D8" s="14">
        <v>120</v>
      </c>
      <c r="E8" s="13" t="s">
        <v>70</v>
      </c>
    </row>
    <row r="9" spans="1:5" s="13" customFormat="1" x14ac:dyDescent="0.25">
      <c r="A9" s="15" t="s">
        <v>71</v>
      </c>
      <c r="B9" s="15" t="s">
        <v>64</v>
      </c>
      <c r="C9" s="15" t="s">
        <v>72</v>
      </c>
      <c r="D9" s="16">
        <v>80</v>
      </c>
      <c r="E9" s="15" t="s">
        <v>73</v>
      </c>
    </row>
    <row r="10" spans="1:5" s="13" customFormat="1" x14ac:dyDescent="0.25">
      <c r="A10" s="13" t="s">
        <v>74</v>
      </c>
      <c r="B10" s="13" t="s">
        <v>75</v>
      </c>
      <c r="C10" s="13" t="s">
        <v>76</v>
      </c>
      <c r="D10" s="14">
        <v>160</v>
      </c>
      <c r="E10" s="13" t="s">
        <v>77</v>
      </c>
    </row>
    <row r="11" spans="1:5" s="13" customFormat="1" x14ac:dyDescent="0.25">
      <c r="A11" s="15" t="s">
        <v>78</v>
      </c>
      <c r="B11" s="15" t="s">
        <v>79</v>
      </c>
      <c r="C11" s="15" t="s">
        <v>80</v>
      </c>
      <c r="D11" s="16">
        <v>75</v>
      </c>
      <c r="E11" s="15" t="s">
        <v>81</v>
      </c>
    </row>
    <row r="12" spans="1:5" x14ac:dyDescent="0.25">
      <c r="A12" s="9" t="s">
        <v>82</v>
      </c>
      <c r="B12" s="9" t="s">
        <v>44</v>
      </c>
      <c r="C12" s="9" t="s">
        <v>44</v>
      </c>
      <c r="D12" s="17">
        <f>SUM(D4:D11)</f>
      </c>
      <c r="E12" s="9" t="s">
        <v>83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 showGridLines="0"/>
  </sheetViews>
  <sheetFormatPr defaultRowHeight="15" outlineLevelRow="0" outlineLevelCol="0" x14ac:dyDescent="55"/>
  <cols>
    <col min="1" max="1" width="104" customWidth="1"/>
  </cols>
  <sheetData>
    <row r="1" ht="32" customHeight="1" spans="1:1" x14ac:dyDescent="0.25">
      <c r="A1" s="1" t="s">
        <v>84</v>
      </c>
    </row>
    <row r="3" ht="30" customHeight="1" spans="1:1" x14ac:dyDescent="0.25">
      <c r="A3" s="13" t="s">
        <v>85</v>
      </c>
    </row>
    <row r="4" ht="30" customHeight="1" spans="1:1" x14ac:dyDescent="0.25">
      <c r="A4" s="13" t="s">
        <v>86</v>
      </c>
    </row>
    <row r="5" ht="30" customHeight="1" spans="1:1" x14ac:dyDescent="0.25">
      <c r="A5" s="13" t="s">
        <v>87</v>
      </c>
    </row>
    <row r="6" ht="30" customHeight="1" spans="1:1" x14ac:dyDescent="0.25">
      <c r="A6" s="13" t="s">
        <v>88</v>
      </c>
    </row>
    <row r="7" ht="30" customHeight="1" spans="1:1" x14ac:dyDescent="0.25">
      <c r="A7" s="13" t="s">
        <v>89</v>
      </c>
    </row>
    <row r="8" ht="30" customHeight="1" spans="1:1" x14ac:dyDescent="0.25">
      <c r="A8" s="13" t="s">
        <v>90</v>
      </c>
    </row>
    <row r="9" ht="30" customHeight="1" spans="1:1" x14ac:dyDescent="0.25">
      <c r="A9" s="13" t="s">
        <v>91</v>
      </c>
    </row>
    <row r="10" ht="30" customHeight="1" spans="1:1" x14ac:dyDescent="0.25">
      <c r="A10" s="13" t="s">
        <v>92</v>
      </c>
    </row>
    <row r="11" ht="30" customHeight="1" spans="1:1" x14ac:dyDescent="0.25">
      <c r="A11" s="13" t="s">
        <v>93</v>
      </c>
    </row>
    <row r="12" ht="30" customHeight="1" spans="1:1" x14ac:dyDescent="0.25">
      <c r="A12" s="13" t="s">
        <v>94</v>
      </c>
    </row>
    <row r="13" ht="30" customHeight="1" spans="1:1" x14ac:dyDescent="0.25">
      <c r="A13" s="13" t="s">
        <v>95</v>
      </c>
    </row>
    <row r="14" ht="30" customHeight="1" spans="1:1" x14ac:dyDescent="0.25">
      <c r="A14" s="13" t="s">
        <v>96</v>
      </c>
    </row>
    <row r="15" ht="30" customHeight="1" spans="1:1" x14ac:dyDescent="0.25">
      <c r="A15" s="13" t="s">
        <v>97</v>
      </c>
    </row>
    <row r="16" ht="30" customHeight="1" spans="1:1" x14ac:dyDescent="0.25">
      <c r="A16" s="13" t="s">
        <v>98</v>
      </c>
    </row>
    <row r="17" ht="30" customHeight="1" spans="1:1" x14ac:dyDescent="0.25">
      <c r="A17" s="13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Environments</vt:lpstr>
      <vt:lpstr>Phase 2 add-ons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Edu</dc:creator>
  <dc:title/>
  <dc:subject/>
  <dc:description/>
  <cp:keywords/>
  <cp:category/>
  <cp:lastModifiedBy>Unknown</cp:lastModifiedBy>
  <dcterms:created xsi:type="dcterms:W3CDTF">2026-06-05T06:18:41Z</dcterms:created>
  <dcterms:modified xsi:type="dcterms:W3CDTF">2026-06-05T06:18:41Z</dcterms:modified>
</cp:coreProperties>
</file>